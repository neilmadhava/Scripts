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tsolonline-my.sharepoint.com/personal/mukunda_madhava_betsol_com/Documents/Documents/Scripts/powershell/collectivebh/"/>
    </mc:Choice>
  </mc:AlternateContent>
  <xr:revisionPtr revIDLastSave="36" documentId="8_{77913C0B-9B08-43F2-91BB-0700999233E5}" xr6:coauthVersionLast="47" xr6:coauthVersionMax="47" xr10:uidLastSave="{BCCC4E31-7186-48E2-9634-EC6B1B1864EB}"/>
  <bookViews>
    <workbookView xWindow="1170" yWindow="1170" windowWidth="15705" windowHeight="12660" xr2:uid="{C4B287E0-6E82-4587-9423-7BCA532AB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3" i="1"/>
  <c r="E4" i="1"/>
  <c r="E5" i="1"/>
  <c r="E6" i="1"/>
  <c r="E7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<sst xmlns="http://schemas.openxmlformats.org/spreadsheetml/2006/main" count="85" uniqueCount="85">
  <si>
    <t>ID</t>
  </si>
  <si>
    <t>Group For</t>
  </si>
  <si>
    <t>Associate</t>
  </si>
  <si>
    <t>Clinician</t>
  </si>
  <si>
    <t>Leadership</t>
  </si>
  <si>
    <t>Manager</t>
  </si>
  <si>
    <t>ServiceAccount</t>
  </si>
  <si>
    <t>Consultant</t>
  </si>
  <si>
    <t>Admin</t>
  </si>
  <si>
    <t>Patient Access</t>
  </si>
  <si>
    <t>Psychiatrist</t>
  </si>
  <si>
    <t>Therapist</t>
  </si>
  <si>
    <t>CO</t>
  </si>
  <si>
    <t>CP</t>
  </si>
  <si>
    <t>NY</t>
  </si>
  <si>
    <t>TX</t>
  </si>
  <si>
    <t>CO - Boulder</t>
  </si>
  <si>
    <t>CO - Central Park</t>
  </si>
  <si>
    <t>CO - Cherry Creek</t>
  </si>
  <si>
    <t>CO - Greenwood Village</t>
  </si>
  <si>
    <t>CO - Lakewood</t>
  </si>
  <si>
    <t>Corporate</t>
  </si>
  <si>
    <t>NY - Brooklyn Heights</t>
  </si>
  <si>
    <t>NY - Union Square</t>
  </si>
  <si>
    <t>TX - Houston</t>
  </si>
  <si>
    <t>Rule (DDL)</t>
  </si>
  <si>
    <t>Rule (DSG)</t>
  </si>
  <si>
    <t>(RecipientType -eq 'UserMailbox') -and (Office -eq 'Associate')</t>
  </si>
  <si>
    <t>(RecipientType -eq 'UserMailbox') -and (Office -eq 'Leadership')</t>
  </si>
  <si>
    <t>(RecipientType -eq 'UserMailbox') -and (Office -eq 'Manager')</t>
  </si>
  <si>
    <t>(RecipientType -eq 'UserMailbox') -and (Office -eq 'ServiceAccount')</t>
  </si>
  <si>
    <t>(RecipientType -eq 'UserMailbox') -and (Office -eq 'Consultant')</t>
  </si>
  <si>
    <t>(RecipientType -eq 'UserMailbox') -and (Company -eq 'Admin')</t>
  </si>
  <si>
    <t>(RecipientType -eq 'UserMailbox') -and (Company -eq 'Patient Access')</t>
  </si>
  <si>
    <t>(RecipientType -eq 'UserMailbox') -and (Company -eq 'Psychiatrist')</t>
  </si>
  <si>
    <t>(RecipientType -eq 'UserMailbox') -and (Company -eq 'Therapist')</t>
  </si>
  <si>
    <t>(RecipientType -eq 'UserMailbox') -and (StateOrProvince -eq 'CO')</t>
  </si>
  <si>
    <t>(RecipientType -eq 'UserMailbox') -and (StateOrProvince -eq 'CP')</t>
  </si>
  <si>
    <t>(RecipientType -eq 'UserMailbox') -and (StateOrProvince -eq 'NY')</t>
  </si>
  <si>
    <t>(RecipientType -eq 'UserMailbox') -and (StateOrProvince -eq 'TX')</t>
  </si>
  <si>
    <t>(RecipientType -eq 'UserMailbox') -and (StreetAddress -eq 'CO - Boulder')</t>
  </si>
  <si>
    <t>(RecipientType -eq 'UserMailbox') -and (StreetAddress -eq 'CO - Central Park')</t>
  </si>
  <si>
    <t>(RecipientType -eq 'UserMailbox') -and (StreetAddress -eq 'CO - Cherry Creek')</t>
  </si>
  <si>
    <t>(RecipientType -eq 'UserMailbox') -and (StreetAddress -eq 'CO - Greenwood Village')</t>
  </si>
  <si>
    <t>(RecipientType -eq 'UserMailbox') -and (StreetAddress -eq 'CO - Lakewood')</t>
  </si>
  <si>
    <t>(RecipientType -eq 'UserMailbox') -and (StreetAddress -eq 'Corporate')</t>
  </si>
  <si>
    <t>(RecipientType -eq 'UserMailbox') -and (StreetAddress -eq 'NY - Brooklyn Heights')</t>
  </si>
  <si>
    <t>(RecipientType -eq 'UserMailbox') -and (StreetAddress -eq 'NY - Union Square')</t>
  </si>
  <si>
    <t>(RecipientType -eq 'UserMailbox') -and (StreetAddress -eq 'TX - Houston')</t>
  </si>
  <si>
    <t>user.physicalDeliveryOfficeName -eq "Associate"</t>
  </si>
  <si>
    <t>user.physicalDeliveryOfficeName -eq "Leadership"</t>
  </si>
  <si>
    <t>user.physicalDeliveryOfficeName -eq "Manager"</t>
  </si>
  <si>
    <t>user.physicalDeliveryOfficeName -eq "ServiceAccount"</t>
  </si>
  <si>
    <t>user.physicalDeliveryOfficeName -eq "Consultant"</t>
  </si>
  <si>
    <t>user.companyName -eq "Admin"</t>
  </si>
  <si>
    <t>user.companyName -eq "Patient Access"</t>
  </si>
  <si>
    <t>user.companyName -eq "Psychiatrist"</t>
  </si>
  <si>
    <t>user.companyName -eq "Therapist"</t>
  </si>
  <si>
    <t>user.companyName -eq "Clinician"</t>
  </si>
  <si>
    <t>user.State -eq "CO"</t>
  </si>
  <si>
    <t>user.State -eq "CP"</t>
  </si>
  <si>
    <t>user.State -eq "NY"</t>
  </si>
  <si>
    <t>user.State -eq "TX"</t>
  </si>
  <si>
    <t>user.StreetAddress -eq "CO - Boulder"</t>
  </si>
  <si>
    <t>user.StreetAddress -eq "CO - Central Park"</t>
  </si>
  <si>
    <t>user.StreetAddress -eq "CO - Cherry Creek"</t>
  </si>
  <si>
    <t>user.StreetAddress -eq "CO - Greenwood Village"</t>
  </si>
  <si>
    <t>user.StreetAddress -eq "CO - Lakewood"</t>
  </si>
  <si>
    <t>user.StreetAddress -eq "Corporate"</t>
  </si>
  <si>
    <t>user.StreetAddress -eq "NY - Brooklyn Heights"</t>
  </si>
  <si>
    <t>user.StreetAddress -eq "NY - Union Square"</t>
  </si>
  <si>
    <t>user.StreetAddress -eq "TX - Houston"</t>
  </si>
  <si>
    <t>SOL_Patient_Access</t>
  </si>
  <si>
    <t>DDL Group Name</t>
  </si>
  <si>
    <t>SOL_CO_Central_Park</t>
  </si>
  <si>
    <t>SOL_CO_Cherry_Creek</t>
  </si>
  <si>
    <t>SOL_CO_Greenwood_Village</t>
  </si>
  <si>
    <t>SOL_CO_Lakewood</t>
  </si>
  <si>
    <t>SOL_Corporate</t>
  </si>
  <si>
    <t>SOL_NY_Brooklyn Heights</t>
  </si>
  <si>
    <t>SOL_TX_Houston</t>
  </si>
  <si>
    <t>SOL_NY_Union_Square</t>
  </si>
  <si>
    <t>SG Name</t>
  </si>
  <si>
    <t>SOL_CO_Boulder</t>
  </si>
  <si>
    <t>(RecipientType -eq 'UserMailbox') -and (Company -eq 'Psychiatrist' -or Company -eq 'Therapist')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</si>
</sst>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244FD-73BF-4B19-B0C9-52058DF52CE3}">
  <dimension ref="A1:F24"/>
  <sheetViews>
    <sheetView tabSelected="1" workbookViewId="0">
      <selection activeCell="C12" sqref="C12"/>
    </sheetView>
  </sheetViews>
  <sheetFormatPr defaultRowHeight="15" x14ac:dyDescent="0.25"/>
  <cols>
    <col min="1" max="1" width="2.85546875" bestFit="1" customWidth="1"/>
    <col min="2" max="2" width="22.5703125" bestFit="1" customWidth="1"/>
    <col min="3" max="3" width="78" bestFit="1" customWidth="1"/>
    <col min="4" max="4" width="51.28515625" bestFit="1" customWidth="1"/>
    <col min="5" max="5" width="27" bestFit="1" customWidth="1"/>
    <col min="6" max="6" width="26" bestFit="1" customWidth="1"/>
  </cols>
  <sheetData>
    <row r="1" spans="1:6" ht="15.75" thickBot="1" x14ac:dyDescent="0.3">
      <c r="A1" s="1" t="s">
        <v>0</v>
      </c>
      <c r="B1" s="4" t="s">
        <v>1</v>
      </c>
      <c r="C1" s="1" t="s">
        <v>25</v>
      </c>
      <c r="D1" s="1" t="s">
        <v>26</v>
      </c>
      <c r="E1" s="8" t="s">
        <v>73</v>
      </c>
      <c r="F1" s="8" t="s">
        <v>82</v>
      </c>
    </row>
    <row r="2" spans="1:6" x14ac:dyDescent="0.25">
      <c r="A2" s="2">
        <v>1</v>
      </c>
      <c r="B2" s="5" t="s">
        <v>2</v>
      </c>
      <c r="C2" s="3" t="s">
        <v>27</v>
      </c>
      <c r="D2" s="1" t="s">
        <v>49</v>
      </c>
      <c r="E2" t="str">
        <f t="shared" ref="E2:E7" si="0">CONCATENATE("SOL_",B2)</f>
        <v>SOL_Associate</v>
      </c>
      <c r="F2" t="str">
        <f>REPLACE(E2,1,3,"SG")</f>
        <v>SG_Associate</v>
      </c>
    </row>
    <row r="3" spans="1:6" x14ac:dyDescent="0.25">
      <c r="A3" s="2">
        <v>2</v>
      </c>
      <c r="B3" s="6" t="s">
        <v>4</v>
      </c>
      <c r="C3" s="3" t="s">
        <v>28</v>
      </c>
      <c r="D3" s="1" t="s">
        <v>50</v>
      </c>
      <c r="E3" t="str">
        <f t="shared" si="0"/>
        <v>SOL_Leadership</v>
      </c>
      <c r="F3" t="str">
        <f t="shared" ref="F3:F24" si="1">REPLACE(E3,1,3,"SG")</f>
        <v>SG_Leadership</v>
      </c>
    </row>
    <row r="4" spans="1:6" x14ac:dyDescent="0.25">
      <c r="A4" s="2">
        <v>3</v>
      </c>
      <c r="B4" s="6" t="s">
        <v>5</v>
      </c>
      <c r="C4" s="3" t="s">
        <v>29</v>
      </c>
      <c r="D4" s="1" t="s">
        <v>51</v>
      </c>
      <c r="E4" t="str">
        <f t="shared" si="0"/>
        <v>SOL_Manager</v>
      </c>
      <c r="F4" t="str">
        <f t="shared" si="1"/>
        <v>SG_Manager</v>
      </c>
    </row>
    <row r="5" spans="1:6" x14ac:dyDescent="0.25">
      <c r="A5" s="2">
        <v>4</v>
      </c>
      <c r="B5" s="6" t="s">
        <v>6</v>
      </c>
      <c r="C5" s="3" t="s">
        <v>30</v>
      </c>
      <c r="D5" s="1" t="s">
        <v>52</v>
      </c>
      <c r="E5" t="str">
        <f t="shared" si="0"/>
        <v>SOL_ServiceAccount</v>
      </c>
      <c r="F5" t="str">
        <f t="shared" si="1"/>
        <v>SG_ServiceAccount</v>
      </c>
    </row>
    <row r="6" spans="1:6" ht="15.75" thickBot="1" x14ac:dyDescent="0.3">
      <c r="A6" s="2">
        <v>5</v>
      </c>
      <c r="B6" s="7" t="s">
        <v>7</v>
      </c>
      <c r="C6" s="3" t="s">
        <v>31</v>
      </c>
      <c r="D6" s="1" t="s">
        <v>53</v>
      </c>
      <c r="E6" t="str">
        <f t="shared" si="0"/>
        <v>SOL_Consultant</v>
      </c>
      <c r="F6" t="str">
        <f t="shared" si="1"/>
        <v>SG_Consultant</v>
      </c>
    </row>
    <row r="7" spans="1:6" x14ac:dyDescent="0.25">
      <c r="A7" s="2">
        <v>6</v>
      </c>
      <c r="B7" s="5" t="s">
        <v>8</v>
      </c>
      <c r="C7" s="3" t="s">
        <v>32</v>
      </c>
      <c r="D7" s="1" t="s">
        <v>54</v>
      </c>
      <c r="E7" t="str">
        <f t="shared" si="0"/>
        <v>SOL_Admin</v>
      </c>
      <c r="F7" t="str">
        <f t="shared" si="1"/>
        <v>SG_Admin</v>
      </c>
    </row>
    <row r="8" spans="1:6" x14ac:dyDescent="0.25">
      <c r="A8" s="2">
        <v>7</v>
      </c>
      <c r="B8" s="6" t="s">
        <v>9</v>
      </c>
      <c r="C8" s="3" t="s">
        <v>33</v>
      </c>
      <c r="D8" s="1" t="s">
        <v>55</v>
      </c>
      <c r="E8" t="s">
        <v>72</v>
      </c>
      <c r="F8" t="str">
        <f t="shared" si="1"/>
        <v>SG_Patient_Access</v>
      </c>
    </row>
    <row r="9" spans="1:6" x14ac:dyDescent="0.25">
      <c r="A9" s="2">
        <v>8</v>
      </c>
      <c r="B9" s="6" t="s">
        <v>10</v>
      </c>
      <c r="C9" s="3" t="s">
        <v>34</v>
      </c>
      <c r="D9" s="1" t="s">
        <v>56</v>
      </c>
      <c r="E9" t="str">
        <f t="shared" ref="E9:E15" si="2">CONCATENATE("SOL_",B9)</f>
        <v>SOL_Psychiatrist</v>
      </c>
      <c r="F9" t="str">
        <f t="shared" si="1"/>
        <v>SG_Psychiatrist</v>
      </c>
    </row>
    <row r="10" spans="1:6" x14ac:dyDescent="0.25">
      <c r="A10" s="2">
        <v>9</v>
      </c>
      <c r="B10" s="6" t="s">
        <v>11</v>
      </c>
      <c r="C10" s="3" t="s">
        <v>35</v>
      </c>
      <c r="D10" s="1" t="s">
        <v>57</v>
      </c>
      <c r="E10" t="str">
        <f t="shared" si="2"/>
        <v>SOL_Therapist</v>
      </c>
      <c r="F10" t="str">
        <f t="shared" si="1"/>
        <v>SG_Therapist</v>
      </c>
    </row>
    <row r="11" spans="1:6" ht="15.75" thickBot="1" x14ac:dyDescent="0.3">
      <c r="A11" s="2">
        <v>10</v>
      </c>
      <c r="B11" s="7" t="s">
        <v>3</v>
      </c>
      <c r="C11" s="3" t="s">
        <v>84</v>
      </c>
      <c r="D11" s="1" t="s">
        <v>58</v>
      </c>
      <c r="E11" t="str">
        <f t="shared" si="2"/>
        <v>SOL_Clinician</v>
      </c>
      <c r="F11" t="str">
        <f t="shared" si="1"/>
        <v>SG_Clinician</v>
      </c>
    </row>
    <row r="12" spans="1:6" x14ac:dyDescent="0.25">
      <c r="A12" s="2">
        <v>11</v>
      </c>
      <c r="B12" s="5" t="s">
        <v>12</v>
      </c>
      <c r="C12" s="3" t="s">
        <v>36</v>
      </c>
      <c r="D12" s="1" t="s">
        <v>59</v>
      </c>
      <c r="E12" t="str">
        <f t="shared" si="2"/>
        <v>SOL_CO</v>
      </c>
      <c r="F12" t="str">
        <f t="shared" si="1"/>
        <v>SG_CO</v>
      </c>
    </row>
    <row r="13" spans="1:6" x14ac:dyDescent="0.25">
      <c r="A13" s="2">
        <v>12</v>
      </c>
      <c r="B13" s="6" t="s">
        <v>13</v>
      </c>
      <c r="C13" s="3" t="s">
        <v>37</v>
      </c>
      <c r="D13" s="1" t="s">
        <v>60</v>
      </c>
      <c r="E13" t="str">
        <f t="shared" si="2"/>
        <v>SOL_CP</v>
      </c>
      <c r="F13" t="str">
        <f t="shared" si="1"/>
        <v>SG_CP</v>
      </c>
    </row>
    <row r="14" spans="1:6" x14ac:dyDescent="0.25">
      <c r="A14" s="2">
        <v>13</v>
      </c>
      <c r="B14" s="6" t="s">
        <v>14</v>
      </c>
      <c r="C14" s="3" t="s">
        <v>38</v>
      </c>
      <c r="D14" s="1" t="s">
        <v>61</v>
      </c>
      <c r="E14" t="str">
        <f t="shared" si="2"/>
        <v>SOL_NY</v>
      </c>
      <c r="F14" t="str">
        <f t="shared" si="1"/>
        <v>SG_NY</v>
      </c>
    </row>
    <row r="15" spans="1:6" ht="15.75" thickBot="1" x14ac:dyDescent="0.3">
      <c r="A15" s="2">
        <v>14</v>
      </c>
      <c r="B15" s="7" t="s">
        <v>15</v>
      </c>
      <c r="C15" s="3" t="s">
        <v>39</v>
      </c>
      <c r="D15" s="1" t="s">
        <v>62</v>
      </c>
      <c r="E15" t="str">
        <f t="shared" si="2"/>
        <v>SOL_TX</v>
      </c>
      <c r="F15" t="str">
        <f t="shared" si="1"/>
        <v>SG_TX</v>
      </c>
    </row>
    <row r="16" spans="1:6" x14ac:dyDescent="0.25">
      <c r="A16" s="2">
        <v>15</v>
      </c>
      <c r="B16" s="5" t="s">
        <v>16</v>
      </c>
      <c r="C16" s="3" t="s">
        <v>40</v>
      </c>
      <c r="D16" s="1" t="s">
        <v>63</v>
      </c>
      <c r="E16" t="s">
        <v>83</v>
      </c>
      <c r="F16" t="str">
        <f t="shared" si="1"/>
        <v>SG_CO_Boulder</v>
      </c>
    </row>
    <row r="17" spans="1:6" x14ac:dyDescent="0.25">
      <c r="A17" s="2">
        <v>16</v>
      </c>
      <c r="B17" s="6" t="s">
        <v>17</v>
      </c>
      <c r="C17" s="3" t="s">
        <v>41</v>
      </c>
      <c r="D17" s="1" t="s">
        <v>64</v>
      </c>
      <c r="E17" t="s">
        <v>74</v>
      </c>
      <c r="F17" t="str">
        <f t="shared" si="1"/>
        <v>SG_CO_Central_Park</v>
      </c>
    </row>
    <row r="18" spans="1:6" x14ac:dyDescent="0.25">
      <c r="A18" s="2">
        <v>17</v>
      </c>
      <c r="B18" s="6" t="s">
        <v>18</v>
      </c>
      <c r="C18" s="3" t="s">
        <v>42</v>
      </c>
      <c r="D18" s="1" t="s">
        <v>65</v>
      </c>
      <c r="E18" t="s">
        <v>75</v>
      </c>
      <c r="F18" t="str">
        <f t="shared" si="1"/>
        <v>SG_CO_Cherry_Creek</v>
      </c>
    </row>
    <row r="19" spans="1:6" x14ac:dyDescent="0.25">
      <c r="A19" s="2">
        <v>18</v>
      </c>
      <c r="B19" s="6" t="s">
        <v>19</v>
      </c>
      <c r="C19" s="3" t="s">
        <v>43</v>
      </c>
      <c r="D19" s="1" t="s">
        <v>66</v>
      </c>
      <c r="E19" t="s">
        <v>76</v>
      </c>
      <c r="F19" t="str">
        <f t="shared" si="1"/>
        <v>SG_CO_Greenwood_Village</v>
      </c>
    </row>
    <row r="20" spans="1:6" x14ac:dyDescent="0.25">
      <c r="A20" s="2">
        <v>19</v>
      </c>
      <c r="B20" s="6" t="s">
        <v>20</v>
      </c>
      <c r="C20" s="3" t="s">
        <v>44</v>
      </c>
      <c r="D20" s="1" t="s">
        <v>67</v>
      </c>
      <c r="E20" t="s">
        <v>77</v>
      </c>
      <c r="F20" t="str">
        <f t="shared" si="1"/>
        <v>SG_CO_Lakewood</v>
      </c>
    </row>
    <row r="21" spans="1:6" x14ac:dyDescent="0.25">
      <c r="A21" s="2">
        <v>20</v>
      </c>
      <c r="B21" s="6" t="s">
        <v>21</v>
      </c>
      <c r="C21" s="3" t="s">
        <v>45</v>
      </c>
      <c r="D21" s="1" t="s">
        <v>68</v>
      </c>
      <c r="E21" t="s">
        <v>78</v>
      </c>
      <c r="F21" t="str">
        <f t="shared" si="1"/>
        <v>SG_Corporate</v>
      </c>
    </row>
    <row r="22" spans="1:6" x14ac:dyDescent="0.25">
      <c r="A22" s="2">
        <v>21</v>
      </c>
      <c r="B22" s="6" t="s">
        <v>22</v>
      </c>
      <c r="C22" s="3" t="s">
        <v>46</v>
      </c>
      <c r="D22" s="1" t="s">
        <v>69</v>
      </c>
      <c r="E22" t="s">
        <v>79</v>
      </c>
      <c r="F22" t="str">
        <f t="shared" si="1"/>
        <v>SG_NY_Brooklyn Heights</v>
      </c>
    </row>
    <row r="23" spans="1:6" x14ac:dyDescent="0.25">
      <c r="A23" s="2">
        <v>22</v>
      </c>
      <c r="B23" s="6" t="s">
        <v>23</v>
      </c>
      <c r="C23" s="3" t="s">
        <v>47</v>
      </c>
      <c r="D23" s="1" t="s">
        <v>70</v>
      </c>
      <c r="E23" t="s">
        <v>81</v>
      </c>
      <c r="F23" t="str">
        <f t="shared" si="1"/>
        <v>SG_NY_Union_Square</v>
      </c>
    </row>
    <row r="24" spans="1:6" ht="15.75" thickBot="1" x14ac:dyDescent="0.3">
      <c r="A24" s="2">
        <v>23</v>
      </c>
      <c r="B24" s="7" t="s">
        <v>24</v>
      </c>
      <c r="C24" s="3" t="s">
        <v>48</v>
      </c>
      <c r="D24" s="1" t="s">
        <v>71</v>
      </c>
      <c r="E24" t="s">
        <v>80</v>
      </c>
      <c r="F24" t="str">
        <f t="shared" si="1"/>
        <v>SG_TX_Houston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Madhava</dc:creator>
  <cp:lastModifiedBy>Mukunda Madhava</cp:lastModifiedBy>
  <dcterms:created xsi:type="dcterms:W3CDTF">2023-06-06T15:21:35Z</dcterms:created>
  <dcterms:modified xsi:type="dcterms:W3CDTF">2023-06-13T17:09:12Z</dcterms:modified>
</cp:coreProperties>
</file>